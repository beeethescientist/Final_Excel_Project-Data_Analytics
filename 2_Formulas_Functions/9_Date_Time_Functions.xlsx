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8"/>
  <workbookPr/>
  <mc:AlternateContent xmlns:mc="http://schemas.openxmlformats.org/markup-compatibility/2006">
    <mc:Choice Requires="x15">
      <x15ac:absPath xmlns:x15ac="http://schemas.microsoft.com/office/spreadsheetml/2010/11/ac" url="/Users/oarabilebereng/Downloads/Excel_Data_Analytics_Course-main/2_Formulas_Functions/"/>
    </mc:Choice>
  </mc:AlternateContent>
  <xr:revisionPtr revIDLastSave="0" documentId="13_ncr:1_{7BB3727C-DC92-2C44-8F48-C313AE556EE7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  <definedName name="_xlchart.v1.0" hidden="1">Data!$AA$2:$AA$26</definedName>
    <definedName name="_xlchart.v1.1" hidden="1">Data!$AB$2:$AB$26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8" l="1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" i="8"/>
  <c r="Z2" i="8" a="1"/>
  <c r="Z2" i="8" s="1"/>
  <c r="AA2" i="8" a="1"/>
  <c r="AA2" i="8" s="1"/>
  <c r="Y3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" i="8"/>
  <c r="T3" i="8"/>
  <c r="U3" i="8"/>
  <c r="V3" i="8"/>
  <c r="X3" i="8"/>
  <c r="T4" i="8"/>
  <c r="U4" i="8"/>
  <c r="V4" i="8"/>
  <c r="X4" i="8"/>
  <c r="T5" i="8"/>
  <c r="U5" i="8"/>
  <c r="V5" i="8"/>
  <c r="X5" i="8"/>
  <c r="T6" i="8"/>
  <c r="U6" i="8"/>
  <c r="V6" i="8"/>
  <c r="X6" i="8"/>
  <c r="T7" i="8"/>
  <c r="U7" i="8"/>
  <c r="V7" i="8"/>
  <c r="X7" i="8"/>
  <c r="T8" i="8"/>
  <c r="U8" i="8"/>
  <c r="V8" i="8"/>
  <c r="X8" i="8"/>
  <c r="T9" i="8"/>
  <c r="U9" i="8"/>
  <c r="V9" i="8"/>
  <c r="X9" i="8"/>
  <c r="T10" i="8"/>
  <c r="U10" i="8"/>
  <c r="V10" i="8"/>
  <c r="X10" i="8"/>
  <c r="T11" i="8"/>
  <c r="U11" i="8"/>
  <c r="V11" i="8"/>
  <c r="X11" i="8"/>
  <c r="T12" i="8"/>
  <c r="U12" i="8"/>
  <c r="V12" i="8"/>
  <c r="X12" i="8"/>
  <c r="T13" i="8"/>
  <c r="U13" i="8"/>
  <c r="V13" i="8"/>
  <c r="X13" i="8"/>
  <c r="T14" i="8"/>
  <c r="U14" i="8"/>
  <c r="V14" i="8"/>
  <c r="X14" i="8"/>
  <c r="T15" i="8"/>
  <c r="U15" i="8"/>
  <c r="V15" i="8"/>
  <c r="X15" i="8"/>
  <c r="T16" i="8"/>
  <c r="U16" i="8"/>
  <c r="V16" i="8"/>
  <c r="X16" i="8"/>
  <c r="T17" i="8"/>
  <c r="U17" i="8"/>
  <c r="V17" i="8"/>
  <c r="X17" i="8"/>
  <c r="T18" i="8"/>
  <c r="U18" i="8"/>
  <c r="V18" i="8"/>
  <c r="X18" i="8"/>
  <c r="T19" i="8"/>
  <c r="U19" i="8"/>
  <c r="V19" i="8"/>
  <c r="X19" i="8"/>
  <c r="T20" i="8"/>
  <c r="U20" i="8"/>
  <c r="V20" i="8"/>
  <c r="X20" i="8"/>
  <c r="T21" i="8"/>
  <c r="U21" i="8"/>
  <c r="V21" i="8"/>
  <c r="X21" i="8"/>
  <c r="X2" i="8"/>
  <c r="V2" i="8"/>
  <c r="U2" i="8"/>
  <c r="T2" i="8"/>
  <c r="P2" i="8"/>
  <c r="R2" i="8" s="1"/>
  <c r="J3" i="8"/>
  <c r="K3" i="8"/>
  <c r="L3" i="8"/>
  <c r="N3" i="8" s="1"/>
  <c r="J4" i="8"/>
  <c r="N4" i="8" s="1"/>
  <c r="K4" i="8"/>
  <c r="L4" i="8"/>
  <c r="J5" i="8"/>
  <c r="K5" i="8"/>
  <c r="L5" i="8"/>
  <c r="N5" i="8"/>
  <c r="J6" i="8"/>
  <c r="K6" i="8"/>
  <c r="L6" i="8"/>
  <c r="N6" i="8"/>
  <c r="J7" i="8"/>
  <c r="K7" i="8"/>
  <c r="L7" i="8"/>
  <c r="N7" i="8"/>
  <c r="J8" i="8"/>
  <c r="K8" i="8"/>
  <c r="L8" i="8"/>
  <c r="N8" i="8"/>
  <c r="J9" i="8"/>
  <c r="K9" i="8"/>
  <c r="L9" i="8"/>
  <c r="N9" i="8"/>
  <c r="J10" i="8"/>
  <c r="K10" i="8"/>
  <c r="L10" i="8"/>
  <c r="N10" i="8"/>
  <c r="J11" i="8"/>
  <c r="K11" i="8"/>
  <c r="L11" i="8"/>
  <c r="N11" i="8"/>
  <c r="J12" i="8"/>
  <c r="K12" i="8"/>
  <c r="L12" i="8"/>
  <c r="N12" i="8"/>
  <c r="J13" i="8"/>
  <c r="K13" i="8"/>
  <c r="L13" i="8"/>
  <c r="N13" i="8"/>
  <c r="J14" i="8"/>
  <c r="K14" i="8"/>
  <c r="L14" i="8"/>
  <c r="N14" i="8"/>
  <c r="J15" i="8"/>
  <c r="K15" i="8"/>
  <c r="L15" i="8"/>
  <c r="N15" i="8"/>
  <c r="J16" i="8"/>
  <c r="K16" i="8"/>
  <c r="L16" i="8"/>
  <c r="N16" i="8"/>
  <c r="J17" i="8"/>
  <c r="K17" i="8"/>
  <c r="L17" i="8"/>
  <c r="N17" i="8"/>
  <c r="J18" i="8"/>
  <c r="K18" i="8"/>
  <c r="L18" i="8"/>
  <c r="N18" i="8"/>
  <c r="J19" i="8"/>
  <c r="K19" i="8"/>
  <c r="L19" i="8"/>
  <c r="N19" i="8"/>
  <c r="J20" i="8"/>
  <c r="K20" i="8"/>
  <c r="L20" i="8"/>
  <c r="N20" i="8"/>
  <c r="J21" i="8"/>
  <c r="K21" i="8"/>
  <c r="L21" i="8"/>
  <c r="N21" i="8"/>
  <c r="N2" i="8"/>
  <c r="L2" i="8"/>
  <c r="K2" i="8"/>
  <c r="J2" i="8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N2" i="15"/>
  <c r="N2" i="14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21" i="8" l="1"/>
  <c r="R13" i="8"/>
  <c r="R5" i="8"/>
  <c r="R18" i="8"/>
  <c r="R9" i="8"/>
  <c r="R8" i="8"/>
  <c r="R7" i="8"/>
  <c r="R6" i="8"/>
  <c r="R20" i="8"/>
  <c r="R12" i="8"/>
  <c r="R4" i="8"/>
  <c r="R10" i="8"/>
  <c r="R17" i="8"/>
  <c r="R16" i="8"/>
  <c r="R15" i="8"/>
  <c r="R14" i="8"/>
  <c r="R19" i="8"/>
  <c r="R11" i="8"/>
  <c r="R3" i="8"/>
  <c r="P2" i="14"/>
  <c r="J2" i="14"/>
  <c r="R4" i="14" l="1"/>
  <c r="R10" i="14"/>
  <c r="R16" i="14"/>
  <c r="R12" i="14"/>
  <c r="R7" i="14"/>
  <c r="R19" i="14"/>
  <c r="R14" i="14"/>
  <c r="R9" i="14"/>
  <c r="R21" i="14"/>
  <c r="R5" i="14"/>
  <c r="R11" i="14"/>
  <c r="R17" i="14"/>
  <c r="R6" i="14"/>
  <c r="R18" i="14"/>
  <c r="R13" i="14"/>
  <c r="R8" i="14"/>
  <c r="R20" i="14"/>
  <c r="R15" i="14"/>
  <c r="R2" i="14"/>
  <c r="R3" i="14"/>
  <c r="J3" i="15"/>
  <c r="K3" i="15"/>
  <c r="L3" i="15"/>
  <c r="J4" i="15"/>
  <c r="K4" i="15"/>
  <c r="L4" i="15"/>
  <c r="J5" i="15"/>
  <c r="K5" i="15"/>
  <c r="L5" i="15"/>
  <c r="J6" i="15"/>
  <c r="K6" i="15"/>
  <c r="L6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L2" i="15"/>
  <c r="K2" i="15"/>
  <c r="J2" i="15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3" i="14"/>
  <c r="N4" i="14"/>
  <c r="N20" i="14"/>
  <c r="N7" i="14"/>
  <c r="N15" i="14"/>
  <c r="N11" i="14"/>
  <c r="N6" i="14"/>
  <c r="N10" i="14"/>
  <c r="N18" i="14"/>
  <c r="N18" i="15"/>
  <c r="N10" i="15"/>
  <c r="N15" i="15"/>
  <c r="N14" i="15"/>
  <c r="N6" i="15"/>
  <c r="N17" i="15"/>
  <c r="N19" i="15"/>
  <c r="N11" i="15"/>
  <c r="N3" i="15"/>
  <c r="N12" i="15"/>
  <c r="N9" i="15"/>
  <c r="N16" i="15"/>
  <c r="N8" i="15"/>
  <c r="N7" i="15"/>
  <c r="N20" i="15"/>
  <c r="N4" i="15"/>
  <c r="N21" i="15"/>
  <c r="N13" i="15"/>
  <c r="N5" i="15"/>
  <c r="N21" i="14"/>
  <c r="N12" i="1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<sst xmlns="http://schemas.openxmlformats.org/spreadsheetml/2006/main" count="471" uniqueCount="97">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</sst>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Job Postings per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013779527559058E-2"/>
          <c:y val="0.19483814523184603"/>
          <c:w val="0.91554177602799647"/>
          <c:h val="0.7209488918051910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Data!$AA$2:$AA$26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Data!$AB$2:$AB$26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78-134D-B307-2387681AB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2018815"/>
        <c:axId val="1019277184"/>
      </c:barChart>
      <c:catAx>
        <c:axId val="1072018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277184"/>
        <c:crosses val="autoZero"/>
        <c:auto val="1"/>
        <c:lblAlgn val="ctr"/>
        <c:lblOffset val="100"/>
        <c:noMultiLvlLbl val="0"/>
      </c:catAx>
      <c:valAx>
        <c:axId val="101927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018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566965</xdr:colOff>
      <xdr:row>9</xdr:row>
      <xdr:rowOff>34470</xdr:rowOff>
    </xdr:from>
    <xdr:to>
      <xdr:col>25</xdr:col>
      <xdr:colOff>353786</xdr:colOff>
      <xdr:row>27</xdr:row>
      <xdr:rowOff>181428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AAB93D-A74B-76B9-40CE-146E1B01A5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3</xdr:row>
      <xdr:rowOff>4762</xdr:rowOff>
    </xdr:from>
    <xdr:to>
      <xdr:col>29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B25"/>
  <sheetViews>
    <sheetView tabSelected="1" zoomScale="140" zoomScaleNormal="140" workbookViewId="0">
      <selection activeCell="X30" sqref="X30"/>
    </sheetView>
  </sheetViews>
  <sheetFormatPr baseColWidth="10" defaultColWidth="8.83203125" defaultRowHeight="15" x14ac:dyDescent="0.2"/>
  <cols>
    <col min="1" max="1" width="17.5" customWidth="1"/>
    <col min="2" max="2" width="14.33203125" hidden="1" customWidth="1"/>
    <col min="3" max="3" width="27.33203125" hidden="1" customWidth="1"/>
    <col min="4" max="4" width="23" style="9" bestFit="1" customWidth="1"/>
    <col min="5" max="5" width="26.33203125" hidden="1" customWidth="1"/>
    <col min="6" max="6" width="11" hidden="1" customWidth="1"/>
    <col min="7" max="7" width="22" hidden="1" customWidth="1"/>
    <col min="8" max="8" width="40" hidden="1" customWidth="1"/>
    <col min="9" max="9" width="0" hidden="1" customWidth="1"/>
    <col min="10" max="13" width="8.83203125" hidden="1" customWidth="1"/>
    <col min="14" max="14" width="14.1640625" hidden="1" customWidth="1"/>
    <col min="15" max="15" width="8.83203125" hidden="1" customWidth="1"/>
    <col min="16" max="16" width="12.33203125" hidden="1" customWidth="1"/>
    <col min="17" max="17" width="8.83203125" hidden="1" customWidth="1"/>
    <col min="18" max="18" width="16" hidden="1" customWidth="1"/>
    <col min="19" max="23" width="8.83203125" customWidth="1"/>
    <col min="24" max="25" width="14.33203125" customWidth="1"/>
    <col min="26" max="26" width="8.83203125" customWidth="1"/>
  </cols>
  <sheetData>
    <row r="1" spans="1:28" x14ac:dyDescent="0.2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7"/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  <c r="T1" s="15" t="s">
        <v>90</v>
      </c>
      <c r="U1" s="15" t="s">
        <v>91</v>
      </c>
      <c r="V1" s="15" t="s">
        <v>92</v>
      </c>
      <c r="X1" s="15" t="s">
        <v>95</v>
      </c>
      <c r="Y1" s="15" t="s">
        <v>95</v>
      </c>
      <c r="Z1" s="15" t="s">
        <v>96</v>
      </c>
      <c r="AA1" s="15" t="s">
        <v>93</v>
      </c>
      <c r="AB1" s="16"/>
    </row>
    <row r="2" spans="1:28" x14ac:dyDescent="0.2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46051</v>
      </c>
      <c r="R2">
        <f ca="1">DATEDIF(N2,$P$2,"D")</f>
        <v>1080</v>
      </c>
      <c r="T2">
        <f>HOUR(D2)</f>
        <v>15</v>
      </c>
      <c r="U2">
        <f>MINUTE(D2)</f>
        <v>22</v>
      </c>
      <c r="V2">
        <f>SECOND(D2)</f>
        <v>15</v>
      </c>
      <c r="X2" s="13">
        <f>TIME(T2,U2,V2)</f>
        <v>0.64045138888888886</v>
      </c>
      <c r="Y2" t="str">
        <f>TEXT(D2,"HH:MM am/pm")</f>
        <v>03:22 pm</v>
      </c>
      <c r="Z2" cm="1">
        <f t="array" ref="Z2:Z21">HOUR(D2:D21)</f>
        <v>15</v>
      </c>
      <c r="AA2" cm="1">
        <f t="array" ref="AA2:AA25">_xlfn.SEQUENCE(24,,1)</f>
        <v>1</v>
      </c>
      <c r="AB2">
        <f>COUNTIF(_xlfn.ANCHORARRAY($Z$2),AA2)</f>
        <v>0</v>
      </c>
    </row>
    <row r="3" spans="1:28" x14ac:dyDescent="0.2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t="shared" ref="R3:R21" ca="1" si="4">DATEDIF(N3,$P$2,"D")</f>
        <v>996</v>
      </c>
      <c r="T3">
        <f t="shared" ref="T3:T21" si="5">HOUR(D3)</f>
        <v>9</v>
      </c>
      <c r="U3">
        <f t="shared" ref="U3:U21" si="6">MINUTE(D3)</f>
        <v>45</v>
      </c>
      <c r="V3">
        <f t="shared" ref="V3:V21" si="7">SECOND(D3)</f>
        <v>32</v>
      </c>
      <c r="X3" s="13">
        <f t="shared" ref="X3:X21" si="8">TIME(T3,U3,V3)</f>
        <v>0.40662037037037035</v>
      </c>
      <c r="Y3" t="str">
        <f t="shared" ref="Y3:Y21" si="9">TEXT(D3,"HH:MM am/pm")</f>
        <v>09:45 am</v>
      </c>
      <c r="Z3">
        <v>9</v>
      </c>
      <c r="AA3">
        <v>2</v>
      </c>
      <c r="AB3">
        <f t="shared" ref="AB3:AB25" si="10">COUNTIF(_xlfn.ANCHORARRAY($Z$2),AA3)</f>
        <v>0</v>
      </c>
    </row>
    <row r="4" spans="1:28" x14ac:dyDescent="0.2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ca="1" si="4"/>
        <v>923</v>
      </c>
      <c r="T4">
        <f t="shared" si="5"/>
        <v>17</v>
      </c>
      <c r="U4">
        <f t="shared" si="6"/>
        <v>30</v>
      </c>
      <c r="V4">
        <f t="shared" si="7"/>
        <v>47</v>
      </c>
      <c r="X4" s="13">
        <f t="shared" si="8"/>
        <v>0.72971064814814812</v>
      </c>
      <c r="Y4" t="str">
        <f t="shared" si="9"/>
        <v>05:30 pm</v>
      </c>
      <c r="Z4">
        <v>17</v>
      </c>
      <c r="AA4">
        <v>3</v>
      </c>
      <c r="AB4">
        <f t="shared" si="10"/>
        <v>0</v>
      </c>
    </row>
    <row r="5" spans="1:28" x14ac:dyDescent="0.2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878</v>
      </c>
      <c r="T5">
        <f t="shared" si="5"/>
        <v>7</v>
      </c>
      <c r="U5">
        <f t="shared" si="6"/>
        <v>15</v>
      </c>
      <c r="V5">
        <f t="shared" si="7"/>
        <v>9</v>
      </c>
      <c r="X5" s="13">
        <f t="shared" si="8"/>
        <v>0.3021875</v>
      </c>
      <c r="Y5" t="str">
        <f t="shared" si="9"/>
        <v>07:15 am</v>
      </c>
      <c r="Z5">
        <v>7</v>
      </c>
      <c r="AA5">
        <v>4</v>
      </c>
      <c r="AB5">
        <f t="shared" si="10"/>
        <v>0</v>
      </c>
    </row>
    <row r="6" spans="1:28" x14ac:dyDescent="0.2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803</v>
      </c>
      <c r="T6">
        <f t="shared" si="5"/>
        <v>17</v>
      </c>
      <c r="U6">
        <f t="shared" si="6"/>
        <v>0</v>
      </c>
      <c r="V6">
        <f t="shared" si="7"/>
        <v>21</v>
      </c>
      <c r="X6" s="13">
        <f t="shared" si="8"/>
        <v>0.70857638888888885</v>
      </c>
      <c r="Y6" t="str">
        <f t="shared" si="9"/>
        <v>05:00 pm</v>
      </c>
      <c r="Z6">
        <v>17</v>
      </c>
      <c r="AA6">
        <v>5</v>
      </c>
      <c r="AB6">
        <f t="shared" si="10"/>
        <v>0</v>
      </c>
    </row>
    <row r="7" spans="1:28" x14ac:dyDescent="0.2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749</v>
      </c>
      <c r="T7">
        <f t="shared" si="5"/>
        <v>12</v>
      </c>
      <c r="U7">
        <f t="shared" si="6"/>
        <v>45</v>
      </c>
      <c r="V7">
        <f t="shared" si="7"/>
        <v>58</v>
      </c>
      <c r="X7" s="13">
        <f t="shared" si="8"/>
        <v>0.53192129629629625</v>
      </c>
      <c r="Y7" t="str">
        <f t="shared" si="9"/>
        <v>12:45 pm</v>
      </c>
      <c r="Z7">
        <v>12</v>
      </c>
      <c r="AA7">
        <v>6</v>
      </c>
      <c r="AB7">
        <f t="shared" si="10"/>
        <v>1</v>
      </c>
    </row>
    <row r="8" spans="1:28" x14ac:dyDescent="0.2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R8">
        <f t="shared" ca="1" si="4"/>
        <v>697</v>
      </c>
      <c r="T8">
        <f t="shared" si="5"/>
        <v>16</v>
      </c>
      <c r="U8">
        <f t="shared" si="6"/>
        <v>30</v>
      </c>
      <c r="V8">
        <f t="shared" si="7"/>
        <v>33</v>
      </c>
      <c r="X8" s="13">
        <f t="shared" si="8"/>
        <v>0.68788194444444439</v>
      </c>
      <c r="Y8" t="str">
        <f t="shared" si="9"/>
        <v>04:30 pm</v>
      </c>
      <c r="Z8">
        <v>16</v>
      </c>
      <c r="AA8">
        <v>7</v>
      </c>
      <c r="AB8">
        <f t="shared" si="10"/>
        <v>3</v>
      </c>
    </row>
    <row r="9" spans="1:28" x14ac:dyDescent="0.2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643</v>
      </c>
      <c r="T9">
        <f t="shared" si="5"/>
        <v>8</v>
      </c>
      <c r="U9">
        <f t="shared" si="6"/>
        <v>10</v>
      </c>
      <c r="V9">
        <f t="shared" si="7"/>
        <v>46</v>
      </c>
      <c r="X9" s="13">
        <f t="shared" si="8"/>
        <v>0.34081018518518519</v>
      </c>
      <c r="Y9" t="str">
        <f t="shared" si="9"/>
        <v>08:10 am</v>
      </c>
      <c r="Z9">
        <v>8</v>
      </c>
      <c r="AA9">
        <v>8</v>
      </c>
      <c r="AB9">
        <f t="shared" si="10"/>
        <v>1</v>
      </c>
    </row>
    <row r="10" spans="1:28" x14ac:dyDescent="0.2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593</v>
      </c>
      <c r="T10">
        <f t="shared" si="5"/>
        <v>17</v>
      </c>
      <c r="U10">
        <f t="shared" si="6"/>
        <v>50</v>
      </c>
      <c r="V10">
        <f t="shared" si="7"/>
        <v>24</v>
      </c>
      <c r="X10" s="13">
        <f t="shared" si="8"/>
        <v>0.74333333333333329</v>
      </c>
      <c r="Y10" t="str">
        <f t="shared" si="9"/>
        <v>05:50 pm</v>
      </c>
      <c r="Z10">
        <v>17</v>
      </c>
      <c r="AA10">
        <v>9</v>
      </c>
      <c r="AB10">
        <f t="shared" si="10"/>
        <v>1</v>
      </c>
    </row>
    <row r="11" spans="1:28" x14ac:dyDescent="0.2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 t="shared" si="3"/>
        <v>45480</v>
      </c>
      <c r="R11">
        <f t="shared" ca="1" si="4"/>
        <v>571</v>
      </c>
      <c r="T11">
        <f t="shared" si="5"/>
        <v>14</v>
      </c>
      <c r="U11">
        <f t="shared" si="6"/>
        <v>35</v>
      </c>
      <c r="V11">
        <f t="shared" si="7"/>
        <v>36</v>
      </c>
      <c r="X11" s="13">
        <f t="shared" si="8"/>
        <v>0.60805555555555557</v>
      </c>
      <c r="Y11" t="str">
        <f t="shared" si="9"/>
        <v>02:35 pm</v>
      </c>
      <c r="Z11">
        <v>14</v>
      </c>
      <c r="AA11">
        <v>10</v>
      </c>
      <c r="AB11">
        <f t="shared" si="10"/>
        <v>1</v>
      </c>
    </row>
    <row r="12" spans="1:28" x14ac:dyDescent="0.2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596</v>
      </c>
      <c r="T12">
        <f t="shared" si="5"/>
        <v>6</v>
      </c>
      <c r="U12">
        <f t="shared" si="6"/>
        <v>50</v>
      </c>
      <c r="V12">
        <f t="shared" si="7"/>
        <v>18</v>
      </c>
      <c r="X12" s="13">
        <f t="shared" si="8"/>
        <v>0.28493055555555558</v>
      </c>
      <c r="Y12" t="str">
        <f t="shared" si="9"/>
        <v>06:50 am</v>
      </c>
      <c r="Z12">
        <v>6</v>
      </c>
      <c r="AA12">
        <v>11</v>
      </c>
      <c r="AB12">
        <f t="shared" si="10"/>
        <v>1</v>
      </c>
    </row>
    <row r="13" spans="1:28" x14ac:dyDescent="0.2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1100</v>
      </c>
      <c r="T13">
        <f t="shared" si="5"/>
        <v>13</v>
      </c>
      <c r="U13">
        <f t="shared" si="6"/>
        <v>15</v>
      </c>
      <c r="V13">
        <f t="shared" si="7"/>
        <v>5</v>
      </c>
      <c r="X13" s="13">
        <f t="shared" si="8"/>
        <v>0.55214120370370368</v>
      </c>
      <c r="Y13" t="str">
        <f t="shared" si="9"/>
        <v>01:15 pm</v>
      </c>
      <c r="Z13">
        <v>13</v>
      </c>
      <c r="AA13">
        <v>12</v>
      </c>
      <c r="AB13">
        <f t="shared" si="10"/>
        <v>1</v>
      </c>
    </row>
    <row r="14" spans="1:28" x14ac:dyDescent="0.2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1049</v>
      </c>
      <c r="T14">
        <f t="shared" si="5"/>
        <v>11</v>
      </c>
      <c r="U14">
        <f t="shared" si="6"/>
        <v>45</v>
      </c>
      <c r="V14">
        <f t="shared" si="7"/>
        <v>39</v>
      </c>
      <c r="X14" s="13">
        <f t="shared" si="8"/>
        <v>0.49003472222222222</v>
      </c>
      <c r="Y14" t="str">
        <f t="shared" si="9"/>
        <v>11:45 am</v>
      </c>
      <c r="Z14">
        <v>11</v>
      </c>
      <c r="AA14">
        <v>13</v>
      </c>
      <c r="AB14">
        <f t="shared" si="10"/>
        <v>1</v>
      </c>
    </row>
    <row r="15" spans="1:28" x14ac:dyDescent="0.2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973</v>
      </c>
      <c r="T15">
        <f t="shared" si="5"/>
        <v>10</v>
      </c>
      <c r="U15">
        <f t="shared" si="6"/>
        <v>0</v>
      </c>
      <c r="V15">
        <f t="shared" si="7"/>
        <v>51</v>
      </c>
      <c r="X15" s="13">
        <f t="shared" si="8"/>
        <v>0.41725694444444444</v>
      </c>
      <c r="Y15" t="str">
        <f t="shared" si="9"/>
        <v>10:00 am</v>
      </c>
      <c r="Z15">
        <v>10</v>
      </c>
      <c r="AA15">
        <v>14</v>
      </c>
      <c r="AB15">
        <f t="shared" si="10"/>
        <v>1</v>
      </c>
    </row>
    <row r="16" spans="1:28" x14ac:dyDescent="0.2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883</v>
      </c>
      <c r="T16">
        <f t="shared" si="5"/>
        <v>17</v>
      </c>
      <c r="U16">
        <f t="shared" si="6"/>
        <v>30</v>
      </c>
      <c r="V16">
        <f t="shared" si="7"/>
        <v>14</v>
      </c>
      <c r="X16" s="13">
        <f t="shared" si="8"/>
        <v>0.72932870370370373</v>
      </c>
      <c r="Y16" t="str">
        <f t="shared" si="9"/>
        <v>05:30 pm</v>
      </c>
      <c r="Z16">
        <v>17</v>
      </c>
      <c r="AA16">
        <v>15</v>
      </c>
      <c r="AB16">
        <f t="shared" si="10"/>
        <v>1</v>
      </c>
    </row>
    <row r="17" spans="1:28" x14ac:dyDescent="0.2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833</v>
      </c>
      <c r="T17">
        <f t="shared" si="5"/>
        <v>7</v>
      </c>
      <c r="U17">
        <f t="shared" si="6"/>
        <v>40</v>
      </c>
      <c r="V17">
        <f t="shared" si="7"/>
        <v>29</v>
      </c>
      <c r="X17" s="13">
        <f t="shared" si="8"/>
        <v>0.3197800925925926</v>
      </c>
      <c r="Y17" t="str">
        <f t="shared" si="9"/>
        <v>07:40 am</v>
      </c>
      <c r="Z17">
        <v>7</v>
      </c>
      <c r="AA17">
        <v>16</v>
      </c>
      <c r="AB17">
        <f t="shared" si="10"/>
        <v>1</v>
      </c>
    </row>
    <row r="18" spans="1:28" x14ac:dyDescent="0.2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701</v>
      </c>
      <c r="T18">
        <f t="shared" si="5"/>
        <v>17</v>
      </c>
      <c r="U18">
        <f t="shared" si="6"/>
        <v>15</v>
      </c>
      <c r="V18">
        <f t="shared" si="7"/>
        <v>42</v>
      </c>
      <c r="X18" s="13">
        <f t="shared" si="8"/>
        <v>0.71923611111111108</v>
      </c>
      <c r="Y18" t="str">
        <f t="shared" si="9"/>
        <v>05:15 pm</v>
      </c>
      <c r="Z18">
        <v>17</v>
      </c>
      <c r="AA18">
        <v>17</v>
      </c>
      <c r="AB18">
        <f t="shared" si="10"/>
        <v>7</v>
      </c>
    </row>
    <row r="19" spans="1:28" x14ac:dyDescent="0.2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633</v>
      </c>
      <c r="T19">
        <f t="shared" si="5"/>
        <v>17</v>
      </c>
      <c r="U19">
        <f t="shared" si="6"/>
        <v>25</v>
      </c>
      <c r="V19">
        <f t="shared" si="7"/>
        <v>57</v>
      </c>
      <c r="X19" s="13">
        <f t="shared" si="8"/>
        <v>0.72635416666666663</v>
      </c>
      <c r="Y19" t="str">
        <f t="shared" si="9"/>
        <v>05:25 pm</v>
      </c>
      <c r="Z19">
        <v>17</v>
      </c>
      <c r="AA19">
        <v>18</v>
      </c>
      <c r="AB19">
        <f t="shared" si="10"/>
        <v>0</v>
      </c>
    </row>
    <row r="20" spans="1:28" x14ac:dyDescent="0.2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555</v>
      </c>
      <c r="T20">
        <f t="shared" si="5"/>
        <v>7</v>
      </c>
      <c r="U20">
        <f t="shared" si="6"/>
        <v>0</v>
      </c>
      <c r="V20">
        <f t="shared" si="7"/>
        <v>3</v>
      </c>
      <c r="X20" s="13">
        <f t="shared" si="8"/>
        <v>0.29170138888888891</v>
      </c>
      <c r="Y20" t="str">
        <f t="shared" si="9"/>
        <v>07:00 am</v>
      </c>
      <c r="Z20">
        <v>7</v>
      </c>
      <c r="AA20">
        <v>19</v>
      </c>
      <c r="AB20">
        <f t="shared" si="10"/>
        <v>0</v>
      </c>
    </row>
    <row r="21" spans="1:28" ht="16" thickBot="1" x14ac:dyDescent="0.2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629</v>
      </c>
      <c r="T21">
        <f t="shared" si="5"/>
        <v>17</v>
      </c>
      <c r="U21">
        <f t="shared" si="6"/>
        <v>45</v>
      </c>
      <c r="V21">
        <f t="shared" si="7"/>
        <v>26</v>
      </c>
      <c r="X21" s="13">
        <f t="shared" si="8"/>
        <v>0.73988425925925927</v>
      </c>
      <c r="Y21" t="str">
        <f t="shared" si="9"/>
        <v>05:45 pm</v>
      </c>
      <c r="Z21">
        <v>17</v>
      </c>
      <c r="AA21">
        <v>20</v>
      </c>
      <c r="AB21">
        <f t="shared" si="10"/>
        <v>0</v>
      </c>
    </row>
    <row r="22" spans="1:28" x14ac:dyDescent="0.2">
      <c r="AA22">
        <v>21</v>
      </c>
      <c r="AB22">
        <f t="shared" si="10"/>
        <v>0</v>
      </c>
    </row>
    <row r="23" spans="1:28" x14ac:dyDescent="0.2">
      <c r="AA23">
        <v>22</v>
      </c>
      <c r="AB23">
        <f t="shared" si="10"/>
        <v>0</v>
      </c>
    </row>
    <row r="24" spans="1:28" x14ac:dyDescent="0.2">
      <c r="AA24">
        <v>23</v>
      </c>
      <c r="AB24">
        <f t="shared" si="10"/>
        <v>0</v>
      </c>
    </row>
    <row r="25" spans="1:28" x14ac:dyDescent="0.2">
      <c r="AA25">
        <v>24</v>
      </c>
      <c r="AB25">
        <f t="shared" si="10"/>
        <v>0</v>
      </c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R21"/>
  <sheetViews>
    <sheetView topLeftCell="D1" workbookViewId="0">
      <selection activeCell="R2" sqref="R2"/>
    </sheetView>
  </sheetViews>
  <sheetFormatPr baseColWidth="10" defaultColWidth="8.83203125" defaultRowHeight="15" x14ac:dyDescent="0.2"/>
  <cols>
    <col min="1" max="1" width="11.6640625" bestFit="1" customWidth="1"/>
    <col min="2" max="2" width="16.1640625" bestFit="1" customWidth="1"/>
    <col min="3" max="3" width="27.33203125" bestFit="1" customWidth="1"/>
    <col min="4" max="4" width="23" customWidth="1"/>
    <col min="5" max="5" width="29.83203125" hidden="1" customWidth="1"/>
    <col min="6" max="6" width="11" hidden="1" customWidth="1"/>
    <col min="7" max="7" width="22" hidden="1" customWidth="1"/>
    <col min="8" max="8" width="40" hidden="1" customWidth="1"/>
    <col min="13" max="13" width="1.83203125" customWidth="1"/>
    <col min="14" max="14" width="15.83203125" bestFit="1" customWidth="1"/>
    <col min="16" max="16" width="9.6640625" bestFit="1" customWidth="1"/>
    <col min="18" max="18" width="18" bestFit="1" customWidth="1"/>
  </cols>
  <sheetData>
    <row r="1" spans="1:18" x14ac:dyDescent="0.2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</row>
    <row r="2" spans="1:18" x14ac:dyDescent="0.2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46051</v>
      </c>
      <c r="R2">
        <f ca="1">DATEDIF(D2,$P$2,"D")</f>
        <v>1080</v>
      </c>
    </row>
    <row r="3" spans="1:18" x14ac:dyDescent="0.2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ca="1">DATEDIF(D3,$P$2,"D")</f>
        <v>996</v>
      </c>
    </row>
    <row r="4" spans="1:18" x14ac:dyDescent="0.2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ref="R4:R21" ca="1" si="4">DATEDIF(D4,$P$2,"D")</f>
        <v>923</v>
      </c>
    </row>
    <row r="5" spans="1:18" x14ac:dyDescent="0.2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878</v>
      </c>
    </row>
    <row r="6" spans="1:18" x14ac:dyDescent="0.2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803</v>
      </c>
    </row>
    <row r="7" spans="1:18" x14ac:dyDescent="0.2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749</v>
      </c>
    </row>
    <row r="8" spans="1:18" x14ac:dyDescent="0.2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697</v>
      </c>
    </row>
    <row r="9" spans="1:18" x14ac:dyDescent="0.2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643</v>
      </c>
    </row>
    <row r="10" spans="1:18" x14ac:dyDescent="0.2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593</v>
      </c>
    </row>
    <row r="11" spans="1:18" x14ac:dyDescent="0.2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>
        <f t="shared" ca="1" si="4"/>
        <v>571</v>
      </c>
    </row>
    <row r="12" spans="1:18" x14ac:dyDescent="0.2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596</v>
      </c>
    </row>
    <row r="13" spans="1:18" x14ac:dyDescent="0.2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1100</v>
      </c>
    </row>
    <row r="14" spans="1:18" x14ac:dyDescent="0.2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1049</v>
      </c>
    </row>
    <row r="15" spans="1:18" x14ac:dyDescent="0.2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973</v>
      </c>
    </row>
    <row r="16" spans="1:18" x14ac:dyDescent="0.2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883</v>
      </c>
    </row>
    <row r="17" spans="1:18" x14ac:dyDescent="0.2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833</v>
      </c>
    </row>
    <row r="18" spans="1:18" x14ac:dyDescent="0.2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701</v>
      </c>
    </row>
    <row r="19" spans="1:18" x14ac:dyDescent="0.2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633</v>
      </c>
    </row>
    <row r="20" spans="1:18" x14ac:dyDescent="0.2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555</v>
      </c>
    </row>
    <row r="21" spans="1:18" ht="16" thickBot="1" x14ac:dyDescent="0.2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629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R26"/>
  <sheetViews>
    <sheetView workbookViewId="0">
      <selection activeCell="P5" sqref="P5"/>
    </sheetView>
  </sheetViews>
  <sheetFormatPr baseColWidth="10" defaultColWidth="8.83203125" defaultRowHeight="15" x14ac:dyDescent="0.2"/>
  <cols>
    <col min="1" max="1" width="11.6640625" bestFit="1" customWidth="1"/>
    <col min="2" max="2" width="16.1640625" bestFit="1" customWidth="1"/>
    <col min="3" max="3" width="27.33203125" bestFit="1" customWidth="1"/>
    <col min="4" max="4" width="23" customWidth="1"/>
    <col min="5" max="5" width="29.83203125" bestFit="1" customWidth="1"/>
    <col min="6" max="6" width="11" bestFit="1" customWidth="1"/>
    <col min="7" max="7" width="22" bestFit="1" customWidth="1"/>
    <col min="8" max="8" width="40" bestFit="1" customWidth="1"/>
    <col min="13" max="13" width="2.6640625" customWidth="1"/>
    <col min="14" max="14" width="15.83203125" bestFit="1" customWidth="1"/>
    <col min="15" max="15" width="14.5" bestFit="1" customWidth="1"/>
  </cols>
  <sheetData>
    <row r="1" spans="1:18" x14ac:dyDescent="0.2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90</v>
      </c>
      <c r="K1" s="15" t="s">
        <v>91</v>
      </c>
      <c r="L1" s="15" t="s">
        <v>92</v>
      </c>
      <c r="N1" s="15" t="s">
        <v>95</v>
      </c>
      <c r="O1" s="15" t="s">
        <v>95</v>
      </c>
      <c r="Q1" s="15" t="s">
        <v>93</v>
      </c>
      <c r="R1" s="16"/>
    </row>
    <row r="2" spans="1:18" x14ac:dyDescent="0.2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  <c r="Q2" t="s">
        <v>90</v>
      </c>
      <c r="R2" t="s">
        <v>94</v>
      </c>
    </row>
    <row r="3" spans="1:18" x14ac:dyDescent="0.2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s="14">
        <v>1</v>
      </c>
      <c r="R3">
        <f>COUNTIF($J$2:$J$21,Q3)</f>
        <v>0</v>
      </c>
    </row>
    <row r="4" spans="1:18" x14ac:dyDescent="0.2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 s="14">
        <v>2</v>
      </c>
      <c r="R4">
        <f t="shared" ref="R4:R26" si="5">COUNTIF($J$2:$J$21,Q4)</f>
        <v>0</v>
      </c>
    </row>
    <row r="5" spans="1:18" x14ac:dyDescent="0.2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4">
        <v>3</v>
      </c>
      <c r="R5">
        <f t="shared" si="5"/>
        <v>0</v>
      </c>
    </row>
    <row r="6" spans="1:18" x14ac:dyDescent="0.2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 s="14">
        <v>4</v>
      </c>
      <c r="R6">
        <f t="shared" si="5"/>
        <v>0</v>
      </c>
    </row>
    <row r="7" spans="1:18" x14ac:dyDescent="0.2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 s="14">
        <v>5</v>
      </c>
      <c r="R7">
        <f t="shared" si="5"/>
        <v>0</v>
      </c>
    </row>
    <row r="8" spans="1:18" x14ac:dyDescent="0.2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 s="14">
        <v>6</v>
      </c>
      <c r="R8">
        <f t="shared" si="5"/>
        <v>1</v>
      </c>
    </row>
    <row r="9" spans="1:18" x14ac:dyDescent="0.2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 s="14">
        <v>7</v>
      </c>
      <c r="R9">
        <f t="shared" si="5"/>
        <v>3</v>
      </c>
    </row>
    <row r="10" spans="1:18" x14ac:dyDescent="0.2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 s="14">
        <v>8</v>
      </c>
      <c r="R10">
        <f t="shared" si="5"/>
        <v>1</v>
      </c>
    </row>
    <row r="11" spans="1:18" x14ac:dyDescent="0.2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 s="14">
        <v>9</v>
      </c>
      <c r="R11">
        <f t="shared" si="5"/>
        <v>1</v>
      </c>
    </row>
    <row r="12" spans="1:18" x14ac:dyDescent="0.2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 s="14">
        <v>10</v>
      </c>
      <c r="R12">
        <f t="shared" si="5"/>
        <v>1</v>
      </c>
    </row>
    <row r="13" spans="1:18" x14ac:dyDescent="0.2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 s="14">
        <v>11</v>
      </c>
      <c r="R13">
        <f t="shared" si="5"/>
        <v>1</v>
      </c>
    </row>
    <row r="14" spans="1:18" x14ac:dyDescent="0.2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 s="14">
        <v>12</v>
      </c>
      <c r="R14">
        <f t="shared" si="5"/>
        <v>1</v>
      </c>
    </row>
    <row r="15" spans="1:18" x14ac:dyDescent="0.2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 s="14">
        <v>13</v>
      </c>
      <c r="R15">
        <f t="shared" si="5"/>
        <v>1</v>
      </c>
    </row>
    <row r="16" spans="1:18" x14ac:dyDescent="0.2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 s="14">
        <v>14</v>
      </c>
      <c r="R16">
        <f t="shared" si="5"/>
        <v>1</v>
      </c>
    </row>
    <row r="17" spans="1:18" x14ac:dyDescent="0.2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 s="14">
        <v>15</v>
      </c>
      <c r="R17">
        <f t="shared" si="5"/>
        <v>1</v>
      </c>
    </row>
    <row r="18" spans="1:18" x14ac:dyDescent="0.2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 s="14">
        <v>16</v>
      </c>
      <c r="R18">
        <f t="shared" si="5"/>
        <v>1</v>
      </c>
    </row>
    <row r="19" spans="1:18" x14ac:dyDescent="0.2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 s="14">
        <v>17</v>
      </c>
      <c r="R19">
        <f t="shared" si="5"/>
        <v>7</v>
      </c>
    </row>
    <row r="20" spans="1:18" x14ac:dyDescent="0.2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 s="14">
        <v>18</v>
      </c>
      <c r="R20">
        <f t="shared" si="5"/>
        <v>0</v>
      </c>
    </row>
    <row r="21" spans="1:18" ht="16" thickBot="1" x14ac:dyDescent="0.2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 s="14">
        <v>19</v>
      </c>
      <c r="R21">
        <f t="shared" si="5"/>
        <v>0</v>
      </c>
    </row>
    <row r="22" spans="1:18" x14ac:dyDescent="0.2">
      <c r="Q22" s="14">
        <v>20</v>
      </c>
      <c r="R22">
        <f t="shared" si="5"/>
        <v>0</v>
      </c>
    </row>
    <row r="23" spans="1:18" x14ac:dyDescent="0.2">
      <c r="Q23" s="14">
        <v>21</v>
      </c>
      <c r="R23">
        <f t="shared" si="5"/>
        <v>0</v>
      </c>
    </row>
    <row r="24" spans="1:18" x14ac:dyDescent="0.2">
      <c r="Q24" s="14">
        <v>22</v>
      </c>
      <c r="R24">
        <f t="shared" si="5"/>
        <v>0</v>
      </c>
    </row>
    <row r="25" spans="1:18" x14ac:dyDescent="0.2">
      <c r="Q25" s="14">
        <v>23</v>
      </c>
      <c r="R25">
        <f t="shared" si="5"/>
        <v>0</v>
      </c>
    </row>
    <row r="26" spans="1:18" x14ac:dyDescent="0.2">
      <c r="Q26" s="14">
        <v>24</v>
      </c>
      <c r="R26">
        <f t="shared" si="5"/>
        <v>0</v>
      </c>
    </row>
  </sheetData>
  <autoFilter ref="A1:H21" xr:uid="{6C5E2CB8-8C8C-43FB-95B8-5A63A3C08A07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Oarabile Bereng</cp:lastModifiedBy>
  <dcterms:created xsi:type="dcterms:W3CDTF">2015-06-05T18:17:20Z</dcterms:created>
  <dcterms:modified xsi:type="dcterms:W3CDTF">2026-01-29T02:45:31Z</dcterms:modified>
</cp:coreProperties>
</file>