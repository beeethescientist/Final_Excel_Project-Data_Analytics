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2_Formulas_Functions/"/>
    </mc:Choice>
  </mc:AlternateContent>
  <xr:revisionPtr revIDLastSave="0" documentId="13_ncr:1_{BB6A847A-D862-3843-A468-6832B77069AC}" xr6:coauthVersionLast="47" xr6:coauthVersionMax="47" xr10:uidLastSave="{00000000-0000-0000-0000-000000000000}"/>
  <bookViews>
    <workbookView xWindow="0" yWindow="1480" windowWidth="25180" windowHeight="1646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20" i="10"/>
  <c r="M21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3" i="10"/>
  <c r="M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<sst xmlns="http://schemas.openxmlformats.org/spreadsheetml/2006/main" count="395" uniqueCount="144">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</sst>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7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R5" sqref="R5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8.33203125" style="1" bestFit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customWidth="1"/>
    <col min="13" max="13" width="9.1640625" style="1" customWidth="1"/>
    <col min="14" max="14" width="10.5" style="1" hidden="1" customWidth="1"/>
    <col min="15" max="15" width="14.1640625" style="1" hidden="1" customWidth="1"/>
    <col min="16" max="16" width="9.6640625" style="1" customWidth="1"/>
    <col min="17" max="17" width="9.1640625" style="1"/>
    <col min="18" max="18" width="14.1640625" style="1" bestFit="1" customWidth="1"/>
    <col min="19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 Met")</f>
        <v>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640625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.1640625" style="1" hidden="1" customWidth="1"/>
    <col min="8" max="9" width="11.1640625" style="1" hidden="1" customWidth="1"/>
    <col min="10" max="10" width="17.33203125" style="1" hidden="1" customWidth="1"/>
    <col min="11" max="11" width="14.33203125" style="1" hidden="1" customWidth="1"/>
    <col min="12" max="12" width="10.33203125" style="1" hidden="1" customWidth="1"/>
    <col min="13" max="13" width="9.1640625" style="1" hidden="1" customWidth="1"/>
    <col min="14" max="14" width="10.5" style="1" hidden="1" customWidth="1"/>
    <col min="15" max="15" width="14.1640625" style="1" hidden="1" customWidth="1"/>
    <col min="16" max="16" width="9.6640625" style="1" hidden="1" customWidth="1"/>
    <col min="17" max="17" width="9.6640625" style="1" customWidth="1"/>
    <col min="18" max="18" width="9.1640625" style="1"/>
    <col min="19" max="19" width="14.1640625" style="1" bestFit="1" customWidth="1"/>
    <col min="20" max="16384" width="9.1640625" style="1"/>
  </cols>
  <sheetData>
    <row r="1" spans="2:17" ht="16" thickBot="1" x14ac:dyDescent="0.25">
      <c r="G1" s="25"/>
    </row>
    <row r="2" spans="2:17" s="11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6" thickBot="1" x14ac:dyDescent="0.2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6" thickBot="1" x14ac:dyDescent="0.25">
      <c r="B14" s="17" t="s">
        <v>25</v>
      </c>
    </row>
    <row r="15" spans="2:17" x14ac:dyDescent="0.2">
      <c r="B15" s="13" t="s">
        <v>22</v>
      </c>
      <c r="C15" s="14">
        <v>5</v>
      </c>
    </row>
    <row r="16" spans="2:17" ht="16" thickBot="1" x14ac:dyDescent="0.2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40" zoomScaleNormal="140" workbookViewId="0">
      <selection activeCell="R12" sqref="R12"/>
    </sheetView>
  </sheetViews>
  <sheetFormatPr baseColWidth="10" defaultColWidth="8.83203125" defaultRowHeight="15" x14ac:dyDescent="0.2"/>
  <cols>
    <col min="1" max="1" width="16.83203125" bestFit="1" customWidth="1"/>
    <col min="2" max="2" width="19.164062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" hidden="1" customWidth="1"/>
    <col min="7" max="7" width="18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1" hidden="1" customWidth="1"/>
    <col min="12" max="12" width="14.33203125" hidden="1" customWidth="1"/>
    <col min="13" max="13" width="10.33203125" hidden="1" customWidth="1"/>
    <col min="14" max="14" width="9.33203125" hidden="1" customWidth="1"/>
    <col min="15" max="15" width="10" hidden="1" customWidth="1"/>
    <col min="16" max="16" width="10.33203125" bestFit="1" customWidth="1"/>
    <col min="17" max="17" width="12.83203125" customWidth="1"/>
    <col min="18" max="18" width="12.1640625" customWidth="1"/>
  </cols>
  <sheetData>
    <row r="1" spans="1:18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 = K$1, "Role Desired", "NOT Desired")</f>
        <v>NOT Desired</v>
      </c>
      <c r="L2" t="str">
        <f>IF($A2 = L$1, "Role Desired", "NOT Desired")</f>
        <v>NOT Desired</v>
      </c>
      <c r="M2" t="str">
        <f>IF($A2 = K$1, "Role Desired", IF($A2 = L$1, "Role Desired", 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 "NOT Desired")</f>
        <v>NOT Desired</v>
      </c>
      <c r="Q2" t="str">
        <f>IF($H2&gt;$Q$1, "Salary&gt;85K", "Salay Low")</f>
        <v>Salary&gt;85K</v>
      </c>
      <c r="R2" s="47" t="str">
        <f>IF($H2="","No Data",IF($H2&gt;=$Q$1,"Salary &gt; 85K","Salary Low"))</f>
        <v>Salary &gt; 85K</v>
      </c>
    </row>
    <row r="3" spans="1:18" x14ac:dyDescent="0.2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 = K$1, "Role Desired", "NOT Desired")</f>
        <v>Role Desired</v>
      </c>
      <c r="L3" t="str">
        <f t="shared" si="0"/>
        <v>NOT Desired</v>
      </c>
      <c r="M3" t="str">
        <f>IF($A3 = K$1, "Role Desired", IF($A3 = L$1, "Role Desired", "NOT Desired"))</f>
        <v>Role Desired</v>
      </c>
      <c r="N3" t="b">
        <f t="shared" ref="N3:N21" si="1">AND($A3=$K$1,$A3=$L$1)</f>
        <v>0</v>
      </c>
      <c r="O3" t="b">
        <f t="shared" ref="O3:O21" si="2">OR($A3=$K$1,$A3=$L$1)</f>
        <v>1</v>
      </c>
      <c r="P3" t="str">
        <f t="shared" ref="P3:P21" si="3">IF(OR($A3=$K$1,$A3=$L$1),"Role Desired", "NOT Desired")</f>
        <v>Role Desired</v>
      </c>
      <c r="Q3" t="str">
        <f t="shared" ref="Q3:Q21" si="4">IF($H3&gt;$Q$1, "Salary&gt;85K", "Salay Low")</f>
        <v>Salay Low</v>
      </c>
      <c r="R3" s="47" t="str">
        <f t="shared" ref="R3:R21" si="5">IF($H3="","No Data",IF($H3&gt;=$Q$1,"Salary &gt; 85K","Salary Low"))</f>
        <v>Salary Low</v>
      </c>
    </row>
    <row r="4" spans="1:18" x14ac:dyDescent="0.2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ref="M4:M19" si="6">IF($A4 = K$1, "Role Desired", IF($A4 = L$1, "Role Desired", "NOT Desired"))</f>
        <v>Role Desired</v>
      </c>
      <c r="N4" t="b">
        <f t="shared" si="1"/>
        <v>0</v>
      </c>
      <c r="O4" t="b">
        <f t="shared" si="2"/>
        <v>1</v>
      </c>
      <c r="P4" t="str">
        <f t="shared" si="3"/>
        <v>Role Desired</v>
      </c>
      <c r="Q4" t="str">
        <f t="shared" si="4"/>
        <v>Salay Low</v>
      </c>
      <c r="R4" s="47" t="str">
        <f t="shared" si="5"/>
        <v>No Data</v>
      </c>
    </row>
    <row r="5" spans="1:18" x14ac:dyDescent="0.2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6"/>
        <v>NOT Desired</v>
      </c>
      <c r="N5" t="b">
        <f t="shared" si="1"/>
        <v>0</v>
      </c>
      <c r="O5" t="b">
        <f t="shared" si="2"/>
        <v>0</v>
      </c>
      <c r="P5" t="str">
        <f t="shared" si="3"/>
        <v>NOT Desired</v>
      </c>
      <c r="Q5" t="str">
        <f t="shared" si="4"/>
        <v>Salay Low</v>
      </c>
      <c r="R5" s="47" t="str">
        <f t="shared" si="5"/>
        <v>No Data</v>
      </c>
    </row>
    <row r="6" spans="1:18" x14ac:dyDescent="0.2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6"/>
        <v>NOT Desired</v>
      </c>
      <c r="N6" t="b">
        <f t="shared" si="1"/>
        <v>0</v>
      </c>
      <c r="O6" t="b">
        <f t="shared" si="2"/>
        <v>0</v>
      </c>
      <c r="P6" t="str">
        <f t="shared" si="3"/>
        <v>NOT Desired</v>
      </c>
      <c r="Q6" t="str">
        <f t="shared" si="4"/>
        <v>Salay Low</v>
      </c>
      <c r="R6" s="47" t="str">
        <f t="shared" si="5"/>
        <v>No Data</v>
      </c>
    </row>
    <row r="7" spans="1:18" x14ac:dyDescent="0.2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6"/>
        <v>NOT Desired</v>
      </c>
      <c r="N7" t="b">
        <f t="shared" si="1"/>
        <v>0</v>
      </c>
      <c r="O7" t="b">
        <f t="shared" si="2"/>
        <v>0</v>
      </c>
      <c r="P7" t="str">
        <f t="shared" si="3"/>
        <v>NOT Desired</v>
      </c>
      <c r="Q7" t="str">
        <f t="shared" si="4"/>
        <v>Salay Low</v>
      </c>
      <c r="R7" s="47" t="str">
        <f t="shared" si="5"/>
        <v>No Data</v>
      </c>
    </row>
    <row r="8" spans="1:18" x14ac:dyDescent="0.2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6"/>
        <v>Role Desired</v>
      </c>
      <c r="N8" t="b">
        <f t="shared" si="1"/>
        <v>0</v>
      </c>
      <c r="O8" t="b">
        <f t="shared" si="2"/>
        <v>1</v>
      </c>
      <c r="P8" t="str">
        <f t="shared" si="3"/>
        <v>Role Desired</v>
      </c>
      <c r="Q8" t="str">
        <f t="shared" si="4"/>
        <v>Salay Low</v>
      </c>
      <c r="R8" s="47" t="str">
        <f t="shared" si="5"/>
        <v>No Data</v>
      </c>
    </row>
    <row r="9" spans="1:18" x14ac:dyDescent="0.2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6"/>
        <v>Role Desired</v>
      </c>
      <c r="N9" t="b">
        <f t="shared" si="1"/>
        <v>0</v>
      </c>
      <c r="O9" t="b">
        <f t="shared" si="2"/>
        <v>1</v>
      </c>
      <c r="P9" t="str">
        <f t="shared" si="3"/>
        <v>Role Desired</v>
      </c>
      <c r="Q9" t="str">
        <f t="shared" si="4"/>
        <v>Salary&gt;85K</v>
      </c>
      <c r="R9" s="47" t="str">
        <f t="shared" si="5"/>
        <v>Salary &gt; 85K</v>
      </c>
    </row>
    <row r="10" spans="1:18" x14ac:dyDescent="0.2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6"/>
        <v>Role Desired</v>
      </c>
      <c r="N10" t="b">
        <f t="shared" si="1"/>
        <v>0</v>
      </c>
      <c r="O10" t="b">
        <f t="shared" si="2"/>
        <v>1</v>
      </c>
      <c r="P10" t="str">
        <f t="shared" si="3"/>
        <v>Role Desired</v>
      </c>
      <c r="Q10" t="str">
        <f t="shared" si="4"/>
        <v>Salay Low</v>
      </c>
      <c r="R10" s="47" t="str">
        <f t="shared" si="5"/>
        <v>No Data</v>
      </c>
    </row>
    <row r="11" spans="1:18" x14ac:dyDescent="0.2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6"/>
        <v>Role Desired</v>
      </c>
      <c r="N11" t="b">
        <f t="shared" si="1"/>
        <v>0</v>
      </c>
      <c r="O11" t="b">
        <f t="shared" si="2"/>
        <v>1</v>
      </c>
      <c r="P11" t="str">
        <f t="shared" si="3"/>
        <v>Role Desired</v>
      </c>
      <c r="Q11" t="str">
        <f t="shared" si="4"/>
        <v>Salary&gt;85K</v>
      </c>
      <c r="R11" s="47" t="str">
        <f t="shared" si="5"/>
        <v>Salary &gt; 85K</v>
      </c>
    </row>
    <row r="12" spans="1:18" x14ac:dyDescent="0.2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6"/>
        <v>NOT Desired</v>
      </c>
      <c r="N12" t="b">
        <f t="shared" si="1"/>
        <v>0</v>
      </c>
      <c r="O12" t="b">
        <f t="shared" si="2"/>
        <v>0</v>
      </c>
      <c r="P12" t="str">
        <f t="shared" si="3"/>
        <v>NOT Desired</v>
      </c>
      <c r="Q12" t="str">
        <f t="shared" si="4"/>
        <v>Salary&gt;85K</v>
      </c>
      <c r="R12" s="47" t="str">
        <f t="shared" si="5"/>
        <v>Salary &gt; 85K</v>
      </c>
    </row>
    <row r="13" spans="1:18" x14ac:dyDescent="0.2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6"/>
        <v>NOT Desired</v>
      </c>
      <c r="N13" t="b">
        <f t="shared" si="1"/>
        <v>0</v>
      </c>
      <c r="O13" t="b">
        <f t="shared" si="2"/>
        <v>0</v>
      </c>
      <c r="P13" t="str">
        <f t="shared" si="3"/>
        <v>NOT Desired</v>
      </c>
      <c r="Q13" t="str">
        <f t="shared" si="4"/>
        <v>Salary&gt;85K</v>
      </c>
      <c r="R13" s="47" t="str">
        <f t="shared" si="5"/>
        <v>Salary &gt; 85K</v>
      </c>
    </row>
    <row r="14" spans="1:18" x14ac:dyDescent="0.2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6"/>
        <v>NOT Desired</v>
      </c>
      <c r="N14" t="b">
        <f t="shared" si="1"/>
        <v>0</v>
      </c>
      <c r="O14" t="b">
        <f t="shared" si="2"/>
        <v>0</v>
      </c>
      <c r="P14" t="str">
        <f t="shared" si="3"/>
        <v>NOT Desired</v>
      </c>
      <c r="Q14" t="str">
        <f t="shared" si="4"/>
        <v>Salary&gt;85K</v>
      </c>
      <c r="R14" s="47" t="str">
        <f t="shared" si="5"/>
        <v>Salary &gt; 85K</v>
      </c>
    </row>
    <row r="15" spans="1:18" x14ac:dyDescent="0.2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6"/>
        <v>NOT Desired</v>
      </c>
      <c r="N15" t="b">
        <f t="shared" si="1"/>
        <v>0</v>
      </c>
      <c r="O15" t="b">
        <f t="shared" si="2"/>
        <v>0</v>
      </c>
      <c r="P15" t="str">
        <f t="shared" si="3"/>
        <v>NOT Desired</v>
      </c>
      <c r="Q15" t="str">
        <f t="shared" si="4"/>
        <v>Salay Low</v>
      </c>
      <c r="R15" s="47" t="str">
        <f t="shared" si="5"/>
        <v>Salary Low</v>
      </c>
    </row>
    <row r="16" spans="1:18" x14ac:dyDescent="0.2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6"/>
        <v>NOT Desired</v>
      </c>
      <c r="N16" t="b">
        <f t="shared" si="1"/>
        <v>0</v>
      </c>
      <c r="O16" t="b">
        <f t="shared" si="2"/>
        <v>0</v>
      </c>
      <c r="P16" t="str">
        <f t="shared" si="3"/>
        <v>NOT Desired</v>
      </c>
      <c r="Q16" t="str">
        <f t="shared" si="4"/>
        <v>Salary&gt;85K</v>
      </c>
      <c r="R16" s="47" t="str">
        <f t="shared" si="5"/>
        <v>Salary &gt; 85K</v>
      </c>
    </row>
    <row r="17" spans="1:18" x14ac:dyDescent="0.2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6"/>
        <v>NOT Desired</v>
      </c>
      <c r="N17" t="b">
        <f t="shared" si="1"/>
        <v>0</v>
      </c>
      <c r="O17" t="b">
        <f t="shared" si="2"/>
        <v>0</v>
      </c>
      <c r="P17" t="str">
        <f t="shared" si="3"/>
        <v>NOT Desired</v>
      </c>
      <c r="Q17" t="str">
        <f t="shared" si="4"/>
        <v>Salary&gt;85K</v>
      </c>
      <c r="R17" s="47" t="str">
        <f t="shared" si="5"/>
        <v>Salary &gt; 85K</v>
      </c>
    </row>
    <row r="18" spans="1:18" x14ac:dyDescent="0.2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6"/>
        <v>Role Desired</v>
      </c>
      <c r="N18" t="b">
        <f t="shared" si="1"/>
        <v>0</v>
      </c>
      <c r="O18" t="b">
        <f t="shared" si="2"/>
        <v>1</v>
      </c>
      <c r="P18" t="str">
        <f t="shared" si="3"/>
        <v>Role Desired</v>
      </c>
      <c r="Q18" t="str">
        <f t="shared" si="4"/>
        <v>Salay Low</v>
      </c>
      <c r="R18" s="47" t="str">
        <f t="shared" si="5"/>
        <v>No Data</v>
      </c>
    </row>
    <row r="19" spans="1:18" x14ac:dyDescent="0.2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6"/>
        <v>NOT Desired</v>
      </c>
      <c r="N19" t="b">
        <f t="shared" si="1"/>
        <v>0</v>
      </c>
      <c r="O19" t="b">
        <f t="shared" si="2"/>
        <v>0</v>
      </c>
      <c r="P19" t="str">
        <f t="shared" si="3"/>
        <v>NOT Desired</v>
      </c>
      <c r="Q19" t="str">
        <f t="shared" si="4"/>
        <v>Salary&gt;85K</v>
      </c>
      <c r="R19" s="47" t="str">
        <f t="shared" si="5"/>
        <v>Salary &gt; 85K</v>
      </c>
    </row>
    <row r="20" spans="1:18" x14ac:dyDescent="0.2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>IF($A20 = K$1, "Role Desired", IF($A20 = L$1, "Role Desired", "NOT Desired"))</f>
        <v>NOT Desired</v>
      </c>
      <c r="N20" t="b">
        <f t="shared" si="1"/>
        <v>0</v>
      </c>
      <c r="O20" t="b">
        <f t="shared" si="2"/>
        <v>0</v>
      </c>
      <c r="P20" t="str">
        <f t="shared" si="3"/>
        <v>NOT Desired</v>
      </c>
      <c r="Q20" t="str">
        <f t="shared" si="4"/>
        <v>Salay Low</v>
      </c>
      <c r="R20" s="47" t="str">
        <f t="shared" si="5"/>
        <v>No Data</v>
      </c>
    </row>
    <row r="21" spans="1:18" x14ac:dyDescent="0.2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>IF($A21 = K$1, "Role Desired", IF($A21 = L$1, "Role Desired", "NOT Desired"))</f>
        <v>Role Desired</v>
      </c>
      <c r="N21" t="b">
        <f t="shared" si="1"/>
        <v>0</v>
      </c>
      <c r="O21" t="b">
        <f t="shared" si="2"/>
        <v>1</v>
      </c>
      <c r="P21" t="str">
        <f t="shared" si="3"/>
        <v>Role Desired</v>
      </c>
      <c r="Q21" t="str">
        <f t="shared" si="4"/>
        <v>Salary&gt;85K</v>
      </c>
      <c r="R21" s="47" t="str">
        <f t="shared" si="5"/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3203125" defaultRowHeight="15" x14ac:dyDescent="0.2"/>
  <cols>
    <col min="1" max="1" width="16.83203125" bestFit="1" customWidth="1"/>
    <col min="2" max="2" width="17.5" hidden="1" customWidth="1"/>
    <col min="3" max="3" width="21.83203125" hidden="1" customWidth="1"/>
    <col min="4" max="4" width="11.1640625" hidden="1" customWidth="1"/>
    <col min="5" max="5" width="38.1640625" hidden="1" customWidth="1"/>
    <col min="6" max="6" width="14.5" hidden="1" customWidth="1"/>
    <col min="7" max="7" width="18.5" hidden="1" customWidth="1"/>
    <col min="8" max="8" width="13.83203125" bestFit="1" customWidth="1"/>
    <col min="9" max="9" width="19" hidden="1" customWidth="1"/>
    <col min="10" max="10" width="68.1640625" hidden="1" customWidth="1"/>
    <col min="11" max="11" width="15.83203125" bestFit="1" customWidth="1"/>
    <col min="12" max="12" width="19.1640625" bestFit="1" customWidth="1"/>
    <col min="13" max="13" width="14.33203125" bestFit="1" customWidth="1"/>
    <col min="14" max="14" width="11.33203125" bestFit="1" customWidth="1"/>
    <col min="15" max="15" width="10.1640625" bestFit="1" customWidth="1"/>
    <col min="16" max="16" width="14.33203125" bestFit="1" customWidth="1"/>
    <col min="17" max="17" width="10.6640625" bestFit="1" customWidth="1"/>
    <col min="18" max="18" width="12.5" bestFit="1" customWidth="1"/>
  </cols>
  <sheetData>
    <row r="1" spans="1:18 16384:16384" x14ac:dyDescent="0.2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3203125" defaultRowHeight="15" x14ac:dyDescent="0.2"/>
  <cols>
    <col min="1" max="1" width="6.5" customWidth="1"/>
    <col min="2" max="2" width="13.5" customWidth="1"/>
    <col min="3" max="3" width="31.5" bestFit="1" customWidth="1"/>
    <col min="4" max="4" width="60.5" bestFit="1" customWidth="1"/>
    <col min="5" max="5" width="19.6640625" bestFit="1" customWidth="1"/>
    <col min="6" max="6" width="17.5" bestFit="1" customWidth="1"/>
  </cols>
  <sheetData>
    <row r="2" spans="2:6" x14ac:dyDescent="0.2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2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zoomScale="160" zoomScaleNormal="160" workbookViewId="0">
      <selection activeCell="E3" sqref="E3:E6"/>
    </sheetView>
  </sheetViews>
  <sheetFormatPr baseColWidth="10" defaultColWidth="8.83203125" defaultRowHeight="15" x14ac:dyDescent="0.2"/>
  <cols>
    <col min="2" max="2" width="9.83203125" bestFit="1" customWidth="1"/>
    <col min="3" max="3" width="10.5" customWidth="1"/>
  </cols>
  <sheetData>
    <row r="1" spans="2:5" ht="16" thickBot="1" x14ac:dyDescent="0.25"/>
    <row r="2" spans="2:5" x14ac:dyDescent="0.2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2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6" thickBot="1" x14ac:dyDescent="0.2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2024-07-16T20:11:02Z</dcterms:created>
  <dcterms:modified xsi:type="dcterms:W3CDTF">2026-01-26T11:04:39Z</dcterms:modified>
</cp:coreProperties>
</file>